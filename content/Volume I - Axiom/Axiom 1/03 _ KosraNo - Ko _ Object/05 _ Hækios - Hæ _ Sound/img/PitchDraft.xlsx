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2007U\E2016\C2017\Astralica\docs\02_FundamentalTypes\03_Krosno\"/>
    </mc:Choice>
  </mc:AlternateContent>
  <xr:revisionPtr revIDLastSave="0" documentId="13_ncr:1_{71DF2D58-DCB3-4AF3-9ABA-BE8C9C5800C0}" xr6:coauthVersionLast="47" xr6:coauthVersionMax="47" xr10:uidLastSave="{00000000-0000-0000-0000-000000000000}"/>
  <bookViews>
    <workbookView xWindow="-28920" yWindow="-120" windowWidth="29040" windowHeight="16440" xr2:uid="{511AA4A2-5F92-4382-981D-B638D43D13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8" i="1" l="1"/>
  <c r="AB28" i="1"/>
  <c r="AA28" i="1"/>
  <c r="Z28" i="1"/>
  <c r="Y28" i="1"/>
  <c r="X28" i="1"/>
  <c r="W28" i="1"/>
  <c r="V28" i="1"/>
  <c r="U28" i="1"/>
  <c r="AC26" i="1"/>
  <c r="AB26" i="1"/>
  <c r="AA26" i="1"/>
  <c r="Z26" i="1"/>
  <c r="Y26" i="1"/>
  <c r="X26" i="1"/>
  <c r="W26" i="1"/>
  <c r="V26" i="1"/>
  <c r="U26" i="1"/>
  <c r="AC24" i="1"/>
  <c r="AB24" i="1"/>
  <c r="AA24" i="1"/>
  <c r="Z24" i="1"/>
  <c r="Y24" i="1"/>
  <c r="X24" i="1"/>
  <c r="W24" i="1"/>
  <c r="V24" i="1"/>
  <c r="U24" i="1"/>
  <c r="AC22" i="1"/>
  <c r="AB22" i="1"/>
  <c r="AA22" i="1"/>
  <c r="Z22" i="1"/>
  <c r="Y22" i="1"/>
  <c r="X22" i="1"/>
  <c r="W22" i="1"/>
  <c r="V22" i="1"/>
  <c r="U22" i="1"/>
  <c r="AC20" i="1"/>
  <c r="AB20" i="1"/>
  <c r="AA20" i="1"/>
  <c r="Z20" i="1"/>
  <c r="Y20" i="1"/>
  <c r="X20" i="1"/>
  <c r="W20" i="1"/>
  <c r="V20" i="1"/>
  <c r="U20" i="1"/>
  <c r="AC18" i="1"/>
  <c r="AB18" i="1"/>
  <c r="AA18" i="1"/>
  <c r="Z18" i="1"/>
  <c r="Y18" i="1"/>
  <c r="X18" i="1"/>
  <c r="W18" i="1"/>
  <c r="V18" i="1"/>
  <c r="U18" i="1"/>
  <c r="AC16" i="1"/>
  <c r="AB16" i="1"/>
  <c r="AA16" i="1"/>
  <c r="Z16" i="1"/>
  <c r="Y16" i="1"/>
  <c r="X16" i="1"/>
  <c r="W16" i="1"/>
  <c r="V16" i="1"/>
  <c r="U16" i="1"/>
  <c r="AC14" i="1"/>
  <c r="AB14" i="1"/>
  <c r="AA14" i="1"/>
  <c r="Z14" i="1"/>
  <c r="Y14" i="1"/>
  <c r="X14" i="1"/>
  <c r="W14" i="1"/>
  <c r="V14" i="1"/>
  <c r="U14" i="1"/>
  <c r="AC12" i="1"/>
  <c r="AB12" i="1"/>
  <c r="AA12" i="1"/>
  <c r="Z12" i="1"/>
  <c r="Y12" i="1"/>
  <c r="X12" i="1"/>
  <c r="W12" i="1"/>
  <c r="V12" i="1"/>
  <c r="U12" i="1"/>
  <c r="AC10" i="1"/>
  <c r="AB10" i="1"/>
  <c r="AA10" i="1"/>
  <c r="Z10" i="1"/>
  <c r="Y10" i="1"/>
  <c r="X10" i="1"/>
  <c r="W10" i="1"/>
  <c r="V10" i="1"/>
  <c r="U10" i="1"/>
  <c r="V8" i="1"/>
  <c r="W8" i="1"/>
  <c r="X8" i="1"/>
  <c r="Y8" i="1"/>
  <c r="Z8" i="1"/>
  <c r="AA8" i="1"/>
  <c r="AB8" i="1"/>
  <c r="AC8" i="1"/>
  <c r="U8" i="1"/>
  <c r="S29" i="1"/>
  <c r="R29" i="1"/>
  <c r="Q29" i="1"/>
  <c r="P29" i="1"/>
  <c r="O29" i="1"/>
  <c r="N29" i="1"/>
  <c r="M29" i="1"/>
  <c r="L29" i="1"/>
  <c r="K29" i="1"/>
  <c r="S27" i="1"/>
  <c r="R27" i="1"/>
  <c r="Q27" i="1"/>
  <c r="P27" i="1"/>
  <c r="O27" i="1"/>
  <c r="N27" i="1"/>
  <c r="M27" i="1"/>
  <c r="L27" i="1"/>
  <c r="K27" i="1"/>
  <c r="S25" i="1"/>
  <c r="R25" i="1"/>
  <c r="Q25" i="1"/>
  <c r="P25" i="1"/>
  <c r="O25" i="1"/>
  <c r="N25" i="1"/>
  <c r="M25" i="1"/>
  <c r="L25" i="1"/>
  <c r="K25" i="1"/>
  <c r="S23" i="1"/>
  <c r="R23" i="1"/>
  <c r="Q23" i="1"/>
  <c r="P23" i="1"/>
  <c r="O23" i="1"/>
  <c r="N23" i="1"/>
  <c r="M23" i="1"/>
  <c r="L23" i="1"/>
  <c r="K23" i="1"/>
  <c r="S21" i="1"/>
  <c r="R21" i="1"/>
  <c r="Q21" i="1"/>
  <c r="P21" i="1"/>
  <c r="O21" i="1"/>
  <c r="N21" i="1"/>
  <c r="M21" i="1"/>
  <c r="L21" i="1"/>
  <c r="K21" i="1"/>
  <c r="S19" i="1"/>
  <c r="R19" i="1"/>
  <c r="Q19" i="1"/>
  <c r="P19" i="1"/>
  <c r="O19" i="1"/>
  <c r="N19" i="1"/>
  <c r="M19" i="1"/>
  <c r="L19" i="1"/>
  <c r="K19" i="1"/>
  <c r="S17" i="1"/>
  <c r="R17" i="1"/>
  <c r="Q17" i="1"/>
  <c r="P17" i="1"/>
  <c r="O17" i="1"/>
  <c r="N17" i="1"/>
  <c r="M17" i="1"/>
  <c r="L17" i="1"/>
  <c r="K17" i="1"/>
  <c r="S15" i="1"/>
  <c r="R15" i="1"/>
  <c r="Q15" i="1"/>
  <c r="P15" i="1"/>
  <c r="O15" i="1"/>
  <c r="N15" i="1"/>
  <c r="M15" i="1"/>
  <c r="L15" i="1"/>
  <c r="K15" i="1"/>
  <c r="S13" i="1"/>
  <c r="R13" i="1"/>
  <c r="Q13" i="1"/>
  <c r="P13" i="1"/>
  <c r="O13" i="1"/>
  <c r="N13" i="1"/>
  <c r="M13" i="1"/>
  <c r="L13" i="1"/>
  <c r="K13" i="1"/>
  <c r="S11" i="1"/>
  <c r="R11" i="1"/>
  <c r="Q11" i="1"/>
  <c r="P11" i="1"/>
  <c r="O11" i="1"/>
  <c r="N11" i="1"/>
  <c r="M11" i="1"/>
  <c r="L11" i="1"/>
  <c r="K11" i="1"/>
  <c r="S9" i="1"/>
  <c r="R9" i="1"/>
  <c r="Q9" i="1"/>
  <c r="P9" i="1"/>
  <c r="O9" i="1"/>
  <c r="N9" i="1"/>
  <c r="M9" i="1"/>
  <c r="L9" i="1"/>
  <c r="K9" i="1"/>
  <c r="L7" i="1"/>
  <c r="M7" i="1"/>
  <c r="N7" i="1"/>
  <c r="O7" i="1"/>
  <c r="P7" i="1"/>
  <c r="Q7" i="1"/>
  <c r="R7" i="1"/>
  <c r="S7" i="1"/>
  <c r="K7" i="1"/>
  <c r="D9" i="1"/>
  <c r="L30" i="1"/>
  <c r="M30" i="1" s="1"/>
  <c r="N30" i="1" s="1"/>
  <c r="O30" i="1" s="1"/>
  <c r="P30" i="1" s="1"/>
  <c r="Q30" i="1" s="1"/>
  <c r="R30" i="1" s="1"/>
  <c r="S30" i="1" s="1"/>
  <c r="D11" i="1"/>
  <c r="L28" i="1"/>
  <c r="M28" i="1" s="1"/>
  <c r="N28" i="1" s="1"/>
  <c r="O28" i="1" s="1"/>
  <c r="P28" i="1" s="1"/>
  <c r="Q28" i="1" s="1"/>
  <c r="R28" i="1" s="1"/>
  <c r="S28" i="1" s="1"/>
  <c r="L26" i="1"/>
  <c r="M26" i="1" s="1"/>
  <c r="N26" i="1" s="1"/>
  <c r="O26" i="1" s="1"/>
  <c r="P26" i="1" s="1"/>
  <c r="Q26" i="1" s="1"/>
  <c r="R26" i="1" s="1"/>
  <c r="S26" i="1" s="1"/>
  <c r="L24" i="1"/>
  <c r="M24" i="1" s="1"/>
  <c r="N24" i="1" s="1"/>
  <c r="O24" i="1" s="1"/>
  <c r="P24" i="1" s="1"/>
  <c r="Q24" i="1" s="1"/>
  <c r="R24" i="1" s="1"/>
  <c r="S24" i="1" s="1"/>
  <c r="L22" i="1"/>
  <c r="M22" i="1" s="1"/>
  <c r="N22" i="1" s="1"/>
  <c r="O22" i="1" s="1"/>
  <c r="P22" i="1" s="1"/>
  <c r="Q22" i="1" s="1"/>
  <c r="R22" i="1" s="1"/>
  <c r="S22" i="1" s="1"/>
  <c r="L20" i="1"/>
  <c r="M20" i="1" s="1"/>
  <c r="N20" i="1" s="1"/>
  <c r="O20" i="1" s="1"/>
  <c r="P20" i="1" s="1"/>
  <c r="Q20" i="1" s="1"/>
  <c r="R20" i="1" s="1"/>
  <c r="S20" i="1" s="1"/>
  <c r="L18" i="1"/>
  <c r="M18" i="1" s="1"/>
  <c r="N18" i="1" s="1"/>
  <c r="O18" i="1" s="1"/>
  <c r="P18" i="1" s="1"/>
  <c r="Q18" i="1" s="1"/>
  <c r="R18" i="1" s="1"/>
  <c r="S18" i="1" s="1"/>
  <c r="L16" i="1"/>
  <c r="M16" i="1" s="1"/>
  <c r="N16" i="1" s="1"/>
  <c r="O16" i="1" s="1"/>
  <c r="P16" i="1" s="1"/>
  <c r="Q16" i="1" s="1"/>
  <c r="R16" i="1" s="1"/>
  <c r="S16" i="1" s="1"/>
  <c r="L14" i="1"/>
  <c r="M14" i="1" s="1"/>
  <c r="N14" i="1" s="1"/>
  <c r="O14" i="1" s="1"/>
  <c r="P14" i="1" s="1"/>
  <c r="Q14" i="1" s="1"/>
  <c r="R14" i="1" s="1"/>
  <c r="S14" i="1" s="1"/>
  <c r="L12" i="1"/>
  <c r="M12" i="1" s="1"/>
  <c r="N12" i="1" s="1"/>
  <c r="O12" i="1" s="1"/>
  <c r="P12" i="1" s="1"/>
  <c r="Q12" i="1" s="1"/>
  <c r="R12" i="1" s="1"/>
  <c r="S12" i="1" s="1"/>
  <c r="L10" i="1"/>
  <c r="M10" i="1" s="1"/>
  <c r="N10" i="1" s="1"/>
  <c r="O10" i="1" s="1"/>
  <c r="P10" i="1" s="1"/>
  <c r="Q10" i="1" s="1"/>
  <c r="R10" i="1" s="1"/>
  <c r="S10" i="1" s="1"/>
  <c r="L8" i="1"/>
  <c r="M8" i="1" s="1"/>
  <c r="N8" i="1" s="1"/>
  <c r="O8" i="1" s="1"/>
  <c r="P8" i="1" s="1"/>
  <c r="Q8" i="1" s="1"/>
  <c r="R8" i="1" s="1"/>
  <c r="S8" i="1" s="1"/>
  <c r="L6" i="1"/>
  <c r="M6" i="1" s="1"/>
  <c r="N6" i="1" s="1"/>
  <c r="O6" i="1" s="1"/>
  <c r="P6" i="1" s="1"/>
  <c r="Q6" i="1" s="1"/>
  <c r="R6" i="1" s="1"/>
  <c r="S6" i="1" s="1"/>
  <c r="D10" i="1"/>
  <c r="D8" i="1"/>
</calcChain>
</file>

<file path=xl/sharedStrings.xml><?xml version="1.0" encoding="utf-8"?>
<sst xmlns="http://schemas.openxmlformats.org/spreadsheetml/2006/main" count="28" uniqueCount="19">
  <si>
    <t>Hydrogen Electron Spin Flip Freq</t>
  </si>
  <si>
    <t>Hz</t>
  </si>
  <si>
    <t>seconds</t>
  </si>
  <si>
    <t>how many osc in a nikro second</t>
  </si>
  <si>
    <t>Nikro Hertz</t>
  </si>
  <si>
    <t>Nikro second</t>
  </si>
  <si>
    <t>C</t>
  </si>
  <si>
    <t>C#</t>
  </si>
  <si>
    <t>D</t>
  </si>
  <si>
    <t>D#</t>
  </si>
  <si>
    <t>E</t>
  </si>
  <si>
    <t>F</t>
  </si>
  <si>
    <t>F#</t>
  </si>
  <si>
    <t>G</t>
  </si>
  <si>
    <t>G#</t>
  </si>
  <si>
    <t>A</t>
  </si>
  <si>
    <t>A#</t>
  </si>
  <si>
    <t>B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</si>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</sst>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0472E-B813-496D-AC0B-F13A79B94EC3}">
  <dimension ref="B3:AC30"/>
  <sheetViews>
    <sheetView tabSelected="1" zoomScale="115" zoomScaleNormal="115" workbookViewId="0">
      <selection activeCell="D15" sqref="D15"/>
    </sheetView>
  </sheetViews>
  <sheetFormatPr defaultRowHeight="15" x14ac:dyDescent="0.25"/>
  <cols>
    <col min="1" max="1" width="10.140625" customWidth="1"/>
    <col min="2" max="2" width="18.140625" customWidth="1"/>
    <col min="3" max="4" width="36.5703125" customWidth="1"/>
  </cols>
  <sheetData>
    <row r="3" spans="2:29" x14ac:dyDescent="0.25">
      <c r="C3" t="s">
        <v>0</v>
      </c>
      <c r="D3" s="1">
        <v>1420405751.7679999</v>
      </c>
      <c r="E3" t="s">
        <v>1</v>
      </c>
    </row>
    <row r="4" spans="2:29" x14ac:dyDescent="0.25">
      <c r="B4">
        <v>1</v>
      </c>
      <c r="C4" t="s">
        <v>5</v>
      </c>
      <c r="D4">
        <v>3.02376084485295</v>
      </c>
      <c r="E4" t="s">
        <v>2</v>
      </c>
    </row>
    <row r="5" spans="2:29" x14ac:dyDescent="0.25">
      <c r="J5" t="s">
        <v>1</v>
      </c>
      <c r="K5">
        <v>0</v>
      </c>
      <c r="L5">
        <v>1</v>
      </c>
      <c r="M5">
        <v>2</v>
      </c>
      <c r="N5">
        <v>3</v>
      </c>
      <c r="O5">
        <v>4</v>
      </c>
      <c r="P5">
        <v>5</v>
      </c>
      <c r="Q5">
        <v>6</v>
      </c>
      <c r="R5">
        <v>7</v>
      </c>
      <c r="S5">
        <v>8</v>
      </c>
    </row>
    <row r="6" spans="2:29" x14ac:dyDescent="0.25">
      <c r="B6">
        <v>1</v>
      </c>
      <c r="C6" t="s">
        <v>4</v>
      </c>
      <c r="E6" t="s">
        <v>3</v>
      </c>
      <c r="J6" t="s">
        <v>6</v>
      </c>
      <c r="K6" s="2">
        <v>16.350000000000001</v>
      </c>
      <c r="L6" s="2">
        <f>K6*2</f>
        <v>32.700000000000003</v>
      </c>
      <c r="M6" s="2">
        <f t="shared" ref="M6:S6" si="0">L6*2</f>
        <v>65.400000000000006</v>
      </c>
      <c r="N6" s="2">
        <f t="shared" si="0"/>
        <v>130.80000000000001</v>
      </c>
      <c r="O6" s="2">
        <f t="shared" si="0"/>
        <v>261.60000000000002</v>
      </c>
      <c r="P6" s="2">
        <f t="shared" si="0"/>
        <v>523.20000000000005</v>
      </c>
      <c r="Q6" s="2">
        <f t="shared" si="0"/>
        <v>1046.4000000000001</v>
      </c>
      <c r="R6" s="2">
        <f t="shared" si="0"/>
        <v>2092.8000000000002</v>
      </c>
      <c r="S6" s="2">
        <f t="shared" si="0"/>
        <v>4185.6000000000004</v>
      </c>
    </row>
    <row r="7" spans="2:29" x14ac:dyDescent="0.25">
      <c r="K7" s="3">
        <f>K8-K6</f>
        <v>0.96999999999999886</v>
      </c>
      <c r="L7" s="3">
        <f t="shared" ref="L7:S7" si="1">L8-L6</f>
        <v>1.9399999999999977</v>
      </c>
      <c r="M7" s="3">
        <f t="shared" si="1"/>
        <v>3.8799999999999955</v>
      </c>
      <c r="N7" s="3">
        <f t="shared" si="1"/>
        <v>7.7599999999999909</v>
      </c>
      <c r="O7" s="3">
        <f t="shared" si="1"/>
        <v>15.519999999999982</v>
      </c>
      <c r="P7" s="3">
        <f t="shared" si="1"/>
        <v>31.039999999999964</v>
      </c>
      <c r="Q7" s="3">
        <f t="shared" si="1"/>
        <v>62.079999999999927</v>
      </c>
      <c r="R7" s="3">
        <f t="shared" si="1"/>
        <v>124.15999999999985</v>
      </c>
      <c r="S7" s="3">
        <f t="shared" si="1"/>
        <v>248.31999999999971</v>
      </c>
      <c r="U7" s="3">
        <v>0.96999999999999886</v>
      </c>
      <c r="V7" s="3">
        <v>1.9399999999999977</v>
      </c>
      <c r="W7" s="3">
        <v>3.8799999999999955</v>
      </c>
      <c r="X7" s="3">
        <v>7.7599999999999909</v>
      </c>
      <c r="Y7" s="3">
        <v>15.519999999999982</v>
      </c>
      <c r="Z7" s="3">
        <v>31.039999999999964</v>
      </c>
      <c r="AA7" s="3">
        <v>62.079999999999927</v>
      </c>
      <c r="AB7" s="3">
        <v>124.15999999999985</v>
      </c>
      <c r="AC7" s="3">
        <v>248.31999999999971</v>
      </c>
    </row>
    <row r="8" spans="2:29" x14ac:dyDescent="0.25">
      <c r="B8">
        <v>64</v>
      </c>
      <c r="C8" t="s">
        <v>4</v>
      </c>
      <c r="D8">
        <f>B8/$D$4</f>
        <v>21.165695067763341</v>
      </c>
      <c r="E8" t="s">
        <v>1</v>
      </c>
      <c r="J8" t="s">
        <v>7</v>
      </c>
      <c r="K8" s="2">
        <v>17.32</v>
      </c>
      <c r="L8" s="2">
        <f>K8*2</f>
        <v>34.64</v>
      </c>
      <c r="M8" s="2">
        <f t="shared" ref="M8:S8" si="2">L8*2</f>
        <v>69.28</v>
      </c>
      <c r="N8" s="2">
        <f t="shared" si="2"/>
        <v>138.56</v>
      </c>
      <c r="O8" s="2">
        <f t="shared" si="2"/>
        <v>277.12</v>
      </c>
      <c r="P8" s="2">
        <f t="shared" si="2"/>
        <v>554.24</v>
      </c>
      <c r="Q8" s="2">
        <f t="shared" si="2"/>
        <v>1108.48</v>
      </c>
      <c r="R8" s="2">
        <f t="shared" si="2"/>
        <v>2216.96</v>
      </c>
      <c r="S8" s="2">
        <f t="shared" si="2"/>
        <v>4433.92</v>
      </c>
      <c r="U8" s="2">
        <f>U9-U7</f>
        <v>6.0000000000002274E-2</v>
      </c>
      <c r="V8" s="2">
        <f t="shared" ref="V8:AC8" si="3">V9-V7</f>
        <v>0.12000000000000455</v>
      </c>
      <c r="W8" s="2">
        <f t="shared" si="3"/>
        <v>0.24000000000000909</v>
      </c>
      <c r="X8" s="2">
        <f t="shared" si="3"/>
        <v>0.48000000000001819</v>
      </c>
      <c r="Y8" s="2">
        <f t="shared" si="3"/>
        <v>0.96000000000003638</v>
      </c>
      <c r="Z8" s="2">
        <f t="shared" si="3"/>
        <v>1.9200000000000728</v>
      </c>
      <c r="AA8" s="2">
        <f t="shared" si="3"/>
        <v>3.8400000000001455</v>
      </c>
      <c r="AB8" s="2">
        <f t="shared" si="3"/>
        <v>7.680000000000291</v>
      </c>
      <c r="AC8" s="2">
        <f t="shared" si="3"/>
        <v>15.360000000000582</v>
      </c>
    </row>
    <row r="9" spans="2:29" x14ac:dyDescent="0.25">
      <c r="B9">
        <v>128</v>
      </c>
      <c r="C9" t="s">
        <v>4</v>
      </c>
      <c r="D9">
        <f>B9/$D$4</f>
        <v>42.331390135526682</v>
      </c>
      <c r="E9" t="s">
        <v>1</v>
      </c>
      <c r="K9" s="3">
        <f>K10-K8</f>
        <v>1.0300000000000011</v>
      </c>
      <c r="L9" s="3">
        <f t="shared" ref="L9" si="4">L10-L8</f>
        <v>2.0600000000000023</v>
      </c>
      <c r="M9" s="3">
        <f t="shared" ref="M9" si="5">M10-M8</f>
        <v>4.1200000000000045</v>
      </c>
      <c r="N9" s="3">
        <f t="shared" ref="N9" si="6">N10-N8</f>
        <v>8.2400000000000091</v>
      </c>
      <c r="O9" s="3">
        <f t="shared" ref="O9" si="7">O10-O8</f>
        <v>16.480000000000018</v>
      </c>
      <c r="P9" s="3">
        <f t="shared" ref="P9" si="8">P10-P8</f>
        <v>32.960000000000036</v>
      </c>
      <c r="Q9" s="3">
        <f t="shared" ref="Q9" si="9">Q10-Q8</f>
        <v>65.920000000000073</v>
      </c>
      <c r="R9" s="3">
        <f t="shared" ref="R9" si="10">R10-R8</f>
        <v>131.84000000000015</v>
      </c>
      <c r="S9" s="3">
        <f t="shared" ref="S9" si="11">S10-S8</f>
        <v>263.68000000000029</v>
      </c>
      <c r="U9" s="3">
        <v>1.0300000000000011</v>
      </c>
      <c r="V9" s="3">
        <v>2.0600000000000023</v>
      </c>
      <c r="W9" s="3">
        <v>4.1200000000000045</v>
      </c>
      <c r="X9" s="3">
        <v>8.2400000000000091</v>
      </c>
      <c r="Y9" s="3">
        <v>16.480000000000018</v>
      </c>
      <c r="Z9" s="3">
        <v>32.960000000000036</v>
      </c>
      <c r="AA9" s="3">
        <v>65.920000000000073</v>
      </c>
      <c r="AB9" s="3">
        <v>131.84000000000015</v>
      </c>
      <c r="AC9" s="3">
        <v>263.68000000000029</v>
      </c>
    </row>
    <row r="10" spans="2:29" x14ac:dyDescent="0.25">
      <c r="B10">
        <v>256</v>
      </c>
      <c r="C10" t="s">
        <v>4</v>
      </c>
      <c r="D10">
        <f>B10/$D$4</f>
        <v>84.662780271053364</v>
      </c>
      <c r="E10" t="s">
        <v>1</v>
      </c>
      <c r="J10" t="s">
        <v>8</v>
      </c>
      <c r="K10" s="2">
        <v>18.350000000000001</v>
      </c>
      <c r="L10" s="2">
        <f>K10*2</f>
        <v>36.700000000000003</v>
      </c>
      <c r="M10" s="2">
        <f t="shared" ref="M10:S10" si="12">L10*2</f>
        <v>73.400000000000006</v>
      </c>
      <c r="N10" s="2">
        <f t="shared" si="12"/>
        <v>146.80000000000001</v>
      </c>
      <c r="O10" s="2">
        <f t="shared" si="12"/>
        <v>293.60000000000002</v>
      </c>
      <c r="P10" s="2">
        <f t="shared" si="12"/>
        <v>587.20000000000005</v>
      </c>
      <c r="Q10" s="2">
        <f t="shared" si="12"/>
        <v>1174.4000000000001</v>
      </c>
      <c r="R10" s="2">
        <f t="shared" si="12"/>
        <v>2348.8000000000002</v>
      </c>
      <c r="S10" s="2">
        <f t="shared" si="12"/>
        <v>4697.6000000000004</v>
      </c>
      <c r="U10" s="2">
        <f>U11-U9</f>
        <v>6.9999999999996732E-2</v>
      </c>
      <c r="V10" s="2">
        <f t="shared" ref="V10" si="13">V11-V9</f>
        <v>0.13999999999999346</v>
      </c>
      <c r="W10" s="2">
        <f t="shared" ref="W10" si="14">W11-W9</f>
        <v>0.27999999999998693</v>
      </c>
      <c r="X10" s="2">
        <f t="shared" ref="X10" si="15">X11-X9</f>
        <v>0.55999999999997385</v>
      </c>
      <c r="Y10" s="2">
        <f t="shared" ref="Y10" si="16">Y11-Y9</f>
        <v>1.1199999999999477</v>
      </c>
      <c r="Z10" s="2">
        <f t="shared" ref="Z10" si="17">Z11-Z9</f>
        <v>2.2399999999998954</v>
      </c>
      <c r="AA10" s="2">
        <f t="shared" ref="AA10" si="18">AA11-AA9</f>
        <v>4.4799999999997908</v>
      </c>
      <c r="AB10" s="2">
        <f t="shared" ref="AB10" si="19">AB11-AB9</f>
        <v>8.9599999999995816</v>
      </c>
      <c r="AC10" s="2">
        <f t="shared" ref="AC10" si="20">AC11-AC9</f>
        <v>17.919999999999163</v>
      </c>
    </row>
    <row r="11" spans="2:29" x14ac:dyDescent="0.25">
      <c r="B11">
        <v>512</v>
      </c>
      <c r="C11" t="s">
        <v>4</v>
      </c>
      <c r="D11">
        <f>B11/$D$4</f>
        <v>169.32556054210673</v>
      </c>
      <c r="E11" t="s">
        <v>1</v>
      </c>
      <c r="K11" s="3">
        <f>K12-K10</f>
        <v>1.0999999999999979</v>
      </c>
      <c r="L11" s="3">
        <f t="shared" ref="L11" si="21">L12-L10</f>
        <v>2.1999999999999957</v>
      </c>
      <c r="M11" s="3">
        <f t="shared" ref="M11" si="22">M12-M10</f>
        <v>4.3999999999999915</v>
      </c>
      <c r="N11" s="3">
        <f t="shared" ref="N11" si="23">N12-N10</f>
        <v>8.7999999999999829</v>
      </c>
      <c r="O11" s="3">
        <f t="shared" ref="O11" si="24">O12-O10</f>
        <v>17.599999999999966</v>
      </c>
      <c r="P11" s="3">
        <f t="shared" ref="P11" si="25">P12-P10</f>
        <v>35.199999999999932</v>
      </c>
      <c r="Q11" s="3">
        <f t="shared" ref="Q11" si="26">Q12-Q10</f>
        <v>70.399999999999864</v>
      </c>
      <c r="R11" s="3">
        <f t="shared" ref="R11" si="27">R12-R10</f>
        <v>140.79999999999973</v>
      </c>
      <c r="S11" s="3">
        <f t="shared" ref="S11" si="28">S12-S10</f>
        <v>281.59999999999945</v>
      </c>
      <c r="U11" s="3">
        <v>1.0999999999999979</v>
      </c>
      <c r="V11" s="3">
        <v>2.1999999999999957</v>
      </c>
      <c r="W11" s="3">
        <v>4.3999999999999915</v>
      </c>
      <c r="X11" s="3">
        <v>8.7999999999999829</v>
      </c>
      <c r="Y11" s="3">
        <v>17.599999999999966</v>
      </c>
      <c r="Z11" s="3">
        <v>35.199999999999932</v>
      </c>
      <c r="AA11" s="3">
        <v>70.399999999999864</v>
      </c>
      <c r="AB11" s="3">
        <v>140.79999999999973</v>
      </c>
      <c r="AC11" s="3">
        <v>281.59999999999945</v>
      </c>
    </row>
    <row r="12" spans="2:29" x14ac:dyDescent="0.25">
      <c r="J12" t="s">
        <v>9</v>
      </c>
      <c r="K12" s="2">
        <v>19.45</v>
      </c>
      <c r="L12" s="2">
        <f>K12*2</f>
        <v>38.9</v>
      </c>
      <c r="M12" s="2">
        <f t="shared" ref="M12:S12" si="29">L12*2</f>
        <v>77.8</v>
      </c>
      <c r="N12" s="2">
        <f t="shared" si="29"/>
        <v>155.6</v>
      </c>
      <c r="O12" s="2">
        <f t="shared" si="29"/>
        <v>311.2</v>
      </c>
      <c r="P12" s="2">
        <f t="shared" si="29"/>
        <v>622.4</v>
      </c>
      <c r="Q12" s="2">
        <f t="shared" si="29"/>
        <v>1244.8</v>
      </c>
      <c r="R12" s="2">
        <f t="shared" si="29"/>
        <v>2489.6</v>
      </c>
      <c r="S12" s="2">
        <f t="shared" si="29"/>
        <v>4979.2</v>
      </c>
      <c r="U12" s="2">
        <f>U13-U11</f>
        <v>5.0000000000004263E-2</v>
      </c>
      <c r="V12" s="2">
        <f t="shared" ref="V12" si="30">V13-V11</f>
        <v>0.10000000000000853</v>
      </c>
      <c r="W12" s="2">
        <f t="shared" ref="W12" si="31">W13-W11</f>
        <v>0.20000000000001705</v>
      </c>
      <c r="X12" s="2">
        <f t="shared" ref="X12" si="32">X13-X11</f>
        <v>0.40000000000003411</v>
      </c>
      <c r="Y12" s="2">
        <f t="shared" ref="Y12" si="33">Y13-Y11</f>
        <v>0.80000000000006821</v>
      </c>
      <c r="Z12" s="2">
        <f t="shared" ref="Z12" si="34">Z13-Z11</f>
        <v>1.6000000000001364</v>
      </c>
      <c r="AA12" s="2">
        <f t="shared" ref="AA12" si="35">AA13-AA11</f>
        <v>3.2000000000002728</v>
      </c>
      <c r="AB12" s="2">
        <f t="shared" ref="AB12" si="36">AB13-AB11</f>
        <v>6.4000000000005457</v>
      </c>
      <c r="AC12" s="2">
        <f t="shared" ref="AC12" si="37">AC13-AC11</f>
        <v>12.800000000001091</v>
      </c>
    </row>
    <row r="13" spans="2:29" x14ac:dyDescent="0.25">
      <c r="K13" s="3">
        <f>K14-K12</f>
        <v>1.1500000000000021</v>
      </c>
      <c r="L13" s="3">
        <f t="shared" ref="L13" si="38">L14-L12</f>
        <v>2.3000000000000043</v>
      </c>
      <c r="M13" s="3">
        <f t="shared" ref="M13" si="39">M14-M12</f>
        <v>4.6000000000000085</v>
      </c>
      <c r="N13" s="3">
        <f t="shared" ref="N13" si="40">N14-N12</f>
        <v>9.2000000000000171</v>
      </c>
      <c r="O13" s="3">
        <f t="shared" ref="O13" si="41">O14-O12</f>
        <v>18.400000000000034</v>
      </c>
      <c r="P13" s="3">
        <f t="shared" ref="P13" si="42">P14-P12</f>
        <v>36.800000000000068</v>
      </c>
      <c r="Q13" s="3">
        <f t="shared" ref="Q13" si="43">Q14-Q12</f>
        <v>73.600000000000136</v>
      </c>
      <c r="R13" s="3">
        <f t="shared" ref="R13" si="44">R14-R12</f>
        <v>147.20000000000027</v>
      </c>
      <c r="S13" s="3">
        <f t="shared" ref="S13" si="45">S14-S12</f>
        <v>294.40000000000055</v>
      </c>
      <c r="U13" s="3">
        <v>1.1500000000000021</v>
      </c>
      <c r="V13" s="3">
        <v>2.3000000000000043</v>
      </c>
      <c r="W13" s="3">
        <v>4.6000000000000085</v>
      </c>
      <c r="X13" s="3">
        <v>9.2000000000000171</v>
      </c>
      <c r="Y13" s="3">
        <v>18.400000000000034</v>
      </c>
      <c r="Z13" s="3">
        <v>36.800000000000068</v>
      </c>
      <c r="AA13" s="3">
        <v>73.600000000000136</v>
      </c>
      <c r="AB13" s="3">
        <v>147.20000000000027</v>
      </c>
      <c r="AC13" s="3">
        <v>294.40000000000055</v>
      </c>
    </row>
    <row r="14" spans="2:29" x14ac:dyDescent="0.25">
      <c r="J14" t="s">
        <v>10</v>
      </c>
      <c r="K14" s="2">
        <v>20.6</v>
      </c>
      <c r="L14" s="2">
        <f>K14*2</f>
        <v>41.2</v>
      </c>
      <c r="M14" s="2">
        <f t="shared" ref="M14:S14" si="46">L14*2</f>
        <v>82.4</v>
      </c>
      <c r="N14" s="2">
        <f t="shared" si="46"/>
        <v>164.8</v>
      </c>
      <c r="O14" s="2">
        <f t="shared" si="46"/>
        <v>329.6</v>
      </c>
      <c r="P14" s="2">
        <f t="shared" si="46"/>
        <v>659.2</v>
      </c>
      <c r="Q14" s="2">
        <f t="shared" si="46"/>
        <v>1318.4</v>
      </c>
      <c r="R14" s="2">
        <f t="shared" si="46"/>
        <v>2636.8</v>
      </c>
      <c r="S14" s="2">
        <f t="shared" si="46"/>
        <v>5273.6</v>
      </c>
      <c r="U14" s="2">
        <f>U15-U13</f>
        <v>7.9999999999994742E-2</v>
      </c>
      <c r="V14" s="2">
        <f t="shared" ref="V14" si="47">V15-V13</f>
        <v>0.15999999999998948</v>
      </c>
      <c r="W14" s="2">
        <f t="shared" ref="W14" si="48">W15-W13</f>
        <v>0.31999999999997897</v>
      </c>
      <c r="X14" s="2">
        <f t="shared" ref="X14" si="49">X15-X13</f>
        <v>0.63999999999995794</v>
      </c>
      <c r="Y14" s="2">
        <f t="shared" ref="Y14" si="50">Y15-Y13</f>
        <v>1.2799999999999159</v>
      </c>
      <c r="Z14" s="2">
        <f t="shared" ref="Z14" si="51">Z15-Z13</f>
        <v>2.5599999999998317</v>
      </c>
      <c r="AA14" s="2">
        <f t="shared" ref="AA14" si="52">AA15-AA13</f>
        <v>5.1199999999996635</v>
      </c>
      <c r="AB14" s="2">
        <f t="shared" ref="AB14" si="53">AB15-AB13</f>
        <v>10.239999999999327</v>
      </c>
      <c r="AC14" s="2">
        <f t="shared" ref="AC14" si="54">AC15-AC13</f>
        <v>20.479999999998654</v>
      </c>
    </row>
    <row r="15" spans="2:29" x14ac:dyDescent="0.25">
      <c r="K15" s="3">
        <f>K16-K14</f>
        <v>1.2299999999999969</v>
      </c>
      <c r="L15" s="3">
        <f t="shared" ref="L15" si="55">L16-L14</f>
        <v>2.4599999999999937</v>
      </c>
      <c r="M15" s="3">
        <f t="shared" ref="M15" si="56">M16-M14</f>
        <v>4.9199999999999875</v>
      </c>
      <c r="N15" s="3">
        <f t="shared" ref="N15" si="57">N16-N14</f>
        <v>9.839999999999975</v>
      </c>
      <c r="O15" s="3">
        <f t="shared" ref="O15" si="58">O16-O14</f>
        <v>19.67999999999995</v>
      </c>
      <c r="P15" s="3">
        <f t="shared" ref="P15" si="59">P16-P14</f>
        <v>39.3599999999999</v>
      </c>
      <c r="Q15" s="3">
        <f t="shared" ref="Q15" si="60">Q16-Q14</f>
        <v>78.7199999999998</v>
      </c>
      <c r="R15" s="3">
        <f t="shared" ref="R15" si="61">R16-R14</f>
        <v>157.4399999999996</v>
      </c>
      <c r="S15" s="3">
        <f t="shared" ref="S15" si="62">S16-S14</f>
        <v>314.8799999999992</v>
      </c>
      <c r="U15" s="3">
        <v>1.2299999999999969</v>
      </c>
      <c r="V15" s="3">
        <v>2.4599999999999937</v>
      </c>
      <c r="W15" s="3">
        <v>4.9199999999999875</v>
      </c>
      <c r="X15" s="3">
        <v>9.839999999999975</v>
      </c>
      <c r="Y15" s="3">
        <v>19.67999999999995</v>
      </c>
      <c r="Z15" s="3">
        <v>39.3599999999999</v>
      </c>
      <c r="AA15" s="3">
        <v>78.7199999999998</v>
      </c>
      <c r="AB15" s="3">
        <v>157.4399999999996</v>
      </c>
      <c r="AC15" s="3">
        <v>314.8799999999992</v>
      </c>
    </row>
    <row r="16" spans="2:29" x14ac:dyDescent="0.25">
      <c r="J16" t="s">
        <v>11</v>
      </c>
      <c r="K16" s="2">
        <v>21.83</v>
      </c>
      <c r="L16" s="2">
        <f>K16*2</f>
        <v>43.66</v>
      </c>
      <c r="M16" s="2">
        <f t="shared" ref="M16:S16" si="63">L16*2</f>
        <v>87.32</v>
      </c>
      <c r="N16" s="2">
        <f t="shared" si="63"/>
        <v>174.64</v>
      </c>
      <c r="O16" s="2">
        <f t="shared" si="63"/>
        <v>349.28</v>
      </c>
      <c r="P16" s="2">
        <f t="shared" si="63"/>
        <v>698.56</v>
      </c>
      <c r="Q16" s="2">
        <f t="shared" si="63"/>
        <v>1397.12</v>
      </c>
      <c r="R16" s="2">
        <f t="shared" si="63"/>
        <v>2794.24</v>
      </c>
      <c r="S16" s="2">
        <f t="shared" si="63"/>
        <v>5588.48</v>
      </c>
      <c r="U16" s="2">
        <f>U17-U15</f>
        <v>6.0000000000005826E-2</v>
      </c>
      <c r="V16" s="2">
        <f t="shared" ref="V16" si="64">V17-V15</f>
        <v>0.12000000000001165</v>
      </c>
      <c r="W16" s="2">
        <f t="shared" ref="W16" si="65">W17-W15</f>
        <v>0.24000000000002331</v>
      </c>
      <c r="X16" s="2">
        <f t="shared" ref="X16" si="66">X17-X15</f>
        <v>0.48000000000004661</v>
      </c>
      <c r="Y16" s="2">
        <f t="shared" ref="Y16" si="67">Y17-Y15</f>
        <v>0.96000000000009322</v>
      </c>
      <c r="Z16" s="2">
        <f t="shared" ref="Z16" si="68">Z17-Z15</f>
        <v>1.9200000000001864</v>
      </c>
      <c r="AA16" s="2">
        <f t="shared" ref="AA16" si="69">AA17-AA15</f>
        <v>3.8400000000003729</v>
      </c>
      <c r="AB16" s="2">
        <f t="shared" ref="AB16" si="70">AB17-AB15</f>
        <v>7.6800000000007458</v>
      </c>
      <c r="AC16" s="2">
        <f t="shared" ref="AC16" si="71">AC17-AC15</f>
        <v>15.360000000001492</v>
      </c>
    </row>
    <row r="17" spans="10:29" x14ac:dyDescent="0.25">
      <c r="K17" s="3">
        <f>K18-K16</f>
        <v>1.2900000000000027</v>
      </c>
      <c r="L17" s="3">
        <f t="shared" ref="L17" si="72">L18-L16</f>
        <v>2.5800000000000054</v>
      </c>
      <c r="M17" s="3">
        <f t="shared" ref="M17" si="73">M18-M16</f>
        <v>5.1600000000000108</v>
      </c>
      <c r="N17" s="3">
        <f t="shared" ref="N17" si="74">N18-N16</f>
        <v>10.320000000000022</v>
      </c>
      <c r="O17" s="3">
        <f t="shared" ref="O17" si="75">O18-O16</f>
        <v>20.640000000000043</v>
      </c>
      <c r="P17" s="3">
        <f t="shared" ref="P17" si="76">P18-P16</f>
        <v>41.280000000000086</v>
      </c>
      <c r="Q17" s="3">
        <f t="shared" ref="Q17" si="77">Q18-Q16</f>
        <v>82.560000000000173</v>
      </c>
      <c r="R17" s="3">
        <f t="shared" ref="R17" si="78">R18-R16</f>
        <v>165.12000000000035</v>
      </c>
      <c r="S17" s="3">
        <f t="shared" ref="S17" si="79">S18-S16</f>
        <v>330.24000000000069</v>
      </c>
      <c r="U17" s="3">
        <v>1.2900000000000027</v>
      </c>
      <c r="V17" s="3">
        <v>2.5800000000000054</v>
      </c>
      <c r="W17" s="3">
        <v>5.1600000000000108</v>
      </c>
      <c r="X17" s="3">
        <v>10.320000000000022</v>
      </c>
      <c r="Y17" s="3">
        <v>20.640000000000043</v>
      </c>
      <c r="Z17" s="3">
        <v>41.280000000000086</v>
      </c>
      <c r="AA17" s="3">
        <v>82.560000000000173</v>
      </c>
      <c r="AB17" s="3">
        <v>165.12000000000035</v>
      </c>
      <c r="AC17" s="3">
        <v>330.24000000000069</v>
      </c>
    </row>
    <row r="18" spans="10:29" x14ac:dyDescent="0.25">
      <c r="J18" t="s">
        <v>12</v>
      </c>
      <c r="K18" s="2">
        <v>23.12</v>
      </c>
      <c r="L18" s="2">
        <f>K18*2</f>
        <v>46.24</v>
      </c>
      <c r="M18" s="2">
        <f t="shared" ref="M18:S18" si="80">L18*2</f>
        <v>92.48</v>
      </c>
      <c r="N18" s="2">
        <f t="shared" si="80"/>
        <v>184.96</v>
      </c>
      <c r="O18" s="2">
        <f t="shared" si="80"/>
        <v>369.92</v>
      </c>
      <c r="P18" s="2">
        <f t="shared" si="80"/>
        <v>739.84</v>
      </c>
      <c r="Q18" s="2">
        <f t="shared" si="80"/>
        <v>1479.68</v>
      </c>
      <c r="R18" s="2">
        <f t="shared" si="80"/>
        <v>2959.36</v>
      </c>
      <c r="S18" s="2">
        <f t="shared" si="80"/>
        <v>5918.72</v>
      </c>
      <c r="U18" s="2">
        <f>U19-U17</f>
        <v>8.9999999999996305E-2</v>
      </c>
      <c r="V18" s="2">
        <f t="shared" ref="V18" si="81">V19-V17</f>
        <v>0.17999999999999261</v>
      </c>
      <c r="W18" s="2">
        <f t="shared" ref="W18" si="82">W19-W17</f>
        <v>0.35999999999998522</v>
      </c>
      <c r="X18" s="2">
        <f t="shared" ref="X18" si="83">X19-X17</f>
        <v>0.71999999999997044</v>
      </c>
      <c r="Y18" s="2">
        <f t="shared" ref="Y18" si="84">Y19-Y17</f>
        <v>1.4399999999999409</v>
      </c>
      <c r="Z18" s="2">
        <f t="shared" ref="Z18" si="85">Z19-Z17</f>
        <v>2.8799999999998818</v>
      </c>
      <c r="AA18" s="2">
        <f t="shared" ref="AA18" si="86">AA19-AA17</f>
        <v>5.7599999999997635</v>
      </c>
      <c r="AB18" s="2">
        <f t="shared" ref="AB18" si="87">AB19-AB17</f>
        <v>11.519999999999527</v>
      </c>
      <c r="AC18" s="2">
        <f t="shared" ref="AC18" si="88">AC19-AC17</f>
        <v>23.039999999999054</v>
      </c>
    </row>
    <row r="19" spans="10:29" x14ac:dyDescent="0.25">
      <c r="K19" s="3">
        <f>K20-K18</f>
        <v>1.379999999999999</v>
      </c>
      <c r="L19" s="3">
        <f t="shared" ref="L19" si="89">L20-L18</f>
        <v>2.759999999999998</v>
      </c>
      <c r="M19" s="3">
        <f t="shared" ref="M19" si="90">M20-M18</f>
        <v>5.519999999999996</v>
      </c>
      <c r="N19" s="3">
        <f t="shared" ref="N19" si="91">N20-N18</f>
        <v>11.039999999999992</v>
      </c>
      <c r="O19" s="3">
        <f t="shared" ref="O19" si="92">O20-O18</f>
        <v>22.079999999999984</v>
      </c>
      <c r="P19" s="3">
        <f t="shared" ref="P19" si="93">P20-P18</f>
        <v>44.159999999999968</v>
      </c>
      <c r="Q19" s="3">
        <f t="shared" ref="Q19" si="94">Q20-Q18</f>
        <v>88.319999999999936</v>
      </c>
      <c r="R19" s="3">
        <f t="shared" ref="R19" si="95">R20-R18</f>
        <v>176.63999999999987</v>
      </c>
      <c r="S19" s="3">
        <f t="shared" ref="S19" si="96">S20-S18</f>
        <v>353.27999999999975</v>
      </c>
      <c r="U19" s="3">
        <v>1.379999999999999</v>
      </c>
      <c r="V19" s="3">
        <v>2.759999999999998</v>
      </c>
      <c r="W19" s="3">
        <v>5.519999999999996</v>
      </c>
      <c r="X19" s="3">
        <v>11.039999999999992</v>
      </c>
      <c r="Y19" s="3">
        <v>22.079999999999984</v>
      </c>
      <c r="Z19" s="3">
        <v>44.159999999999968</v>
      </c>
      <c r="AA19" s="3">
        <v>88.319999999999936</v>
      </c>
      <c r="AB19" s="3">
        <v>176.63999999999987</v>
      </c>
      <c r="AC19" s="3">
        <v>353.27999999999975</v>
      </c>
    </row>
    <row r="20" spans="10:29" x14ac:dyDescent="0.25">
      <c r="J20" t="s">
        <v>13</v>
      </c>
      <c r="K20" s="2">
        <v>24.5</v>
      </c>
      <c r="L20" s="2">
        <f>K20*2</f>
        <v>49</v>
      </c>
      <c r="M20" s="2">
        <f t="shared" ref="M20:S20" si="97">L20*2</f>
        <v>98</v>
      </c>
      <c r="N20" s="2">
        <f t="shared" si="97"/>
        <v>196</v>
      </c>
      <c r="O20" s="2">
        <f t="shared" si="97"/>
        <v>392</v>
      </c>
      <c r="P20" s="2">
        <f t="shared" si="97"/>
        <v>784</v>
      </c>
      <c r="Q20" s="2">
        <f t="shared" si="97"/>
        <v>1568</v>
      </c>
      <c r="R20" s="2">
        <f t="shared" si="97"/>
        <v>3136</v>
      </c>
      <c r="S20" s="2">
        <f t="shared" si="97"/>
        <v>6272</v>
      </c>
      <c r="U20" s="2">
        <f>U21-U19</f>
        <v>8.0000000000001847E-2</v>
      </c>
      <c r="V20" s="2">
        <f t="shared" ref="V20" si="98">V21-V19</f>
        <v>0.16000000000000369</v>
      </c>
      <c r="W20" s="2">
        <f t="shared" ref="W20" si="99">W21-W19</f>
        <v>0.32000000000000739</v>
      </c>
      <c r="X20" s="2">
        <f t="shared" ref="X20" si="100">X21-X19</f>
        <v>0.64000000000001478</v>
      </c>
      <c r="Y20" s="2">
        <f t="shared" ref="Y20" si="101">Y21-Y19</f>
        <v>1.2800000000000296</v>
      </c>
      <c r="Z20" s="2">
        <f t="shared" ref="Z20" si="102">Z21-Z19</f>
        <v>2.5600000000000591</v>
      </c>
      <c r="AA20" s="2">
        <f t="shared" ref="AA20" si="103">AA21-AA19</f>
        <v>5.1200000000001182</v>
      </c>
      <c r="AB20" s="2">
        <f t="shared" ref="AB20" si="104">AB21-AB19</f>
        <v>10.240000000000236</v>
      </c>
      <c r="AC20" s="2">
        <f t="shared" ref="AC20" si="105">AC21-AC19</f>
        <v>20.480000000000473</v>
      </c>
    </row>
    <row r="21" spans="10:29" x14ac:dyDescent="0.25">
      <c r="K21" s="3">
        <f>K22-K20</f>
        <v>1.4600000000000009</v>
      </c>
      <c r="L21" s="3">
        <f t="shared" ref="L21" si="106">L22-L20</f>
        <v>2.9200000000000017</v>
      </c>
      <c r="M21" s="3">
        <f t="shared" ref="M21" si="107">M22-M20</f>
        <v>5.8400000000000034</v>
      </c>
      <c r="N21" s="3">
        <f t="shared" ref="N21" si="108">N22-N20</f>
        <v>11.680000000000007</v>
      </c>
      <c r="O21" s="3">
        <f t="shared" ref="O21" si="109">O22-O20</f>
        <v>23.360000000000014</v>
      </c>
      <c r="P21" s="3">
        <f t="shared" ref="P21" si="110">P22-P20</f>
        <v>46.720000000000027</v>
      </c>
      <c r="Q21" s="3">
        <f t="shared" ref="Q21" si="111">Q22-Q20</f>
        <v>93.440000000000055</v>
      </c>
      <c r="R21" s="3">
        <f t="shared" ref="R21" si="112">R22-R20</f>
        <v>186.88000000000011</v>
      </c>
      <c r="S21" s="3">
        <f t="shared" ref="S21" si="113">S22-S20</f>
        <v>373.76000000000022</v>
      </c>
      <c r="U21" s="3">
        <v>1.4600000000000009</v>
      </c>
      <c r="V21" s="3">
        <v>2.9200000000000017</v>
      </c>
      <c r="W21" s="3">
        <v>5.8400000000000034</v>
      </c>
      <c r="X21" s="3">
        <v>11.680000000000007</v>
      </c>
      <c r="Y21" s="3">
        <v>23.360000000000014</v>
      </c>
      <c r="Z21" s="3">
        <v>46.720000000000027</v>
      </c>
      <c r="AA21" s="3">
        <v>93.440000000000055</v>
      </c>
      <c r="AB21" s="3">
        <v>186.88000000000011</v>
      </c>
      <c r="AC21" s="3">
        <v>373.76000000000022</v>
      </c>
    </row>
    <row r="22" spans="10:29" x14ac:dyDescent="0.25">
      <c r="J22" t="s">
        <v>14</v>
      </c>
      <c r="K22" s="2">
        <v>25.96</v>
      </c>
      <c r="L22" s="2">
        <f>K22*2</f>
        <v>51.92</v>
      </c>
      <c r="M22" s="2">
        <f t="shared" ref="M22:S22" si="114">L22*2</f>
        <v>103.84</v>
      </c>
      <c r="N22" s="2">
        <f t="shared" si="114"/>
        <v>207.68</v>
      </c>
      <c r="O22" s="2">
        <f t="shared" si="114"/>
        <v>415.36</v>
      </c>
      <c r="P22" s="2">
        <f t="shared" si="114"/>
        <v>830.72</v>
      </c>
      <c r="Q22" s="2">
        <f t="shared" si="114"/>
        <v>1661.44</v>
      </c>
      <c r="R22" s="2">
        <f t="shared" si="114"/>
        <v>3322.88</v>
      </c>
      <c r="S22" s="2">
        <f t="shared" si="114"/>
        <v>6645.76</v>
      </c>
      <c r="U22" s="2">
        <f>U23-U21</f>
        <v>7.9999999999998295E-2</v>
      </c>
      <c r="V22" s="2">
        <f t="shared" ref="V22" si="115">V23-V21</f>
        <v>0.15999999999999659</v>
      </c>
      <c r="W22" s="2">
        <f t="shared" ref="W22" si="116">W23-W21</f>
        <v>0.31999999999999318</v>
      </c>
      <c r="X22" s="2">
        <f t="shared" ref="X22" si="117">X23-X21</f>
        <v>0.63999999999998636</v>
      </c>
      <c r="Y22" s="2">
        <f t="shared" ref="Y22" si="118">Y23-Y21</f>
        <v>1.2799999999999727</v>
      </c>
      <c r="Z22" s="2">
        <f t="shared" ref="Z22" si="119">Z23-Z21</f>
        <v>2.5599999999999454</v>
      </c>
      <c r="AA22" s="2">
        <f t="shared" ref="AA22" si="120">AA23-AA21</f>
        <v>5.1199999999998909</v>
      </c>
      <c r="AB22" s="2">
        <f t="shared" ref="AB22" si="121">AB23-AB21</f>
        <v>10.239999999999782</v>
      </c>
      <c r="AC22" s="2">
        <f t="shared" ref="AC22" si="122">AC23-AC21</f>
        <v>20.479999999999563</v>
      </c>
    </row>
    <row r="23" spans="10:29" x14ac:dyDescent="0.25">
      <c r="K23" s="3">
        <f>K24-K22</f>
        <v>1.5399999999999991</v>
      </c>
      <c r="L23" s="3">
        <f t="shared" ref="L23" si="123">L24-L22</f>
        <v>3.0799999999999983</v>
      </c>
      <c r="M23" s="3">
        <f t="shared" ref="M23" si="124">M24-M22</f>
        <v>6.1599999999999966</v>
      </c>
      <c r="N23" s="3">
        <f t="shared" ref="N23" si="125">N24-N22</f>
        <v>12.319999999999993</v>
      </c>
      <c r="O23" s="3">
        <f t="shared" ref="O23" si="126">O24-O22</f>
        <v>24.639999999999986</v>
      </c>
      <c r="P23" s="3">
        <f t="shared" ref="P23" si="127">P24-P22</f>
        <v>49.279999999999973</v>
      </c>
      <c r="Q23" s="3">
        <f t="shared" ref="Q23" si="128">Q24-Q22</f>
        <v>98.559999999999945</v>
      </c>
      <c r="R23" s="3">
        <f t="shared" ref="R23" si="129">R24-R22</f>
        <v>197.11999999999989</v>
      </c>
      <c r="S23" s="3">
        <f t="shared" ref="S23" si="130">S24-S22</f>
        <v>394.23999999999978</v>
      </c>
      <c r="U23" s="3">
        <v>1.5399999999999991</v>
      </c>
      <c r="V23" s="3">
        <v>3.0799999999999983</v>
      </c>
      <c r="W23" s="3">
        <v>6.1599999999999966</v>
      </c>
      <c r="X23" s="3">
        <v>12.319999999999993</v>
      </c>
      <c r="Y23" s="3">
        <v>24.639999999999986</v>
      </c>
      <c r="Z23" s="3">
        <v>49.279999999999973</v>
      </c>
      <c r="AA23" s="3">
        <v>98.559999999999945</v>
      </c>
      <c r="AB23" s="3">
        <v>197.11999999999989</v>
      </c>
      <c r="AC23" s="3">
        <v>394.23999999999978</v>
      </c>
    </row>
    <row r="24" spans="10:29" x14ac:dyDescent="0.25">
      <c r="J24" t="s">
        <v>15</v>
      </c>
      <c r="K24" s="2">
        <v>27.5</v>
      </c>
      <c r="L24" s="2">
        <f>K24*2</f>
        <v>55</v>
      </c>
      <c r="M24" s="2">
        <f t="shared" ref="M24:S24" si="131">L24*2</f>
        <v>110</v>
      </c>
      <c r="N24" s="2">
        <f t="shared" si="131"/>
        <v>220</v>
      </c>
      <c r="O24" s="2">
        <f t="shared" si="131"/>
        <v>440</v>
      </c>
      <c r="P24" s="2">
        <f t="shared" si="131"/>
        <v>880</v>
      </c>
      <c r="Q24" s="2">
        <f t="shared" si="131"/>
        <v>1760</v>
      </c>
      <c r="R24" s="2">
        <f t="shared" si="131"/>
        <v>3520</v>
      </c>
      <c r="S24" s="2">
        <f t="shared" si="131"/>
        <v>7040</v>
      </c>
      <c r="U24" s="2">
        <f>U25-U23</f>
        <v>0.10000000000000142</v>
      </c>
      <c r="V24" s="2">
        <f t="shared" ref="V24" si="132">V25-V23</f>
        <v>0.20000000000000284</v>
      </c>
      <c r="W24" s="2">
        <f t="shared" ref="W24" si="133">W25-W23</f>
        <v>0.40000000000000568</v>
      </c>
      <c r="X24" s="2">
        <f t="shared" ref="X24" si="134">X25-X23</f>
        <v>0.80000000000001137</v>
      </c>
      <c r="Y24" s="2">
        <f t="shared" ref="Y24" si="135">Y25-Y23</f>
        <v>1.6000000000000227</v>
      </c>
      <c r="Z24" s="2">
        <f t="shared" ref="Z24" si="136">Z25-Z23</f>
        <v>3.2000000000000455</v>
      </c>
      <c r="AA24" s="2">
        <f t="shared" ref="AA24" si="137">AA25-AA23</f>
        <v>6.4000000000000909</v>
      </c>
      <c r="AB24" s="2">
        <f t="shared" ref="AB24" si="138">AB25-AB23</f>
        <v>12.800000000000182</v>
      </c>
      <c r="AC24" s="2">
        <f t="shared" ref="AC24" si="139">AC25-AC23</f>
        <v>25.600000000000364</v>
      </c>
    </row>
    <row r="25" spans="10:29" x14ac:dyDescent="0.25">
      <c r="K25" s="3">
        <f>K26-K24</f>
        <v>1.6400000000000006</v>
      </c>
      <c r="L25" s="3">
        <f t="shared" ref="L25" si="140">L26-L24</f>
        <v>3.2800000000000011</v>
      </c>
      <c r="M25" s="3">
        <f t="shared" ref="M25" si="141">M26-M24</f>
        <v>6.5600000000000023</v>
      </c>
      <c r="N25" s="3">
        <f t="shared" ref="N25" si="142">N26-N24</f>
        <v>13.120000000000005</v>
      </c>
      <c r="O25" s="3">
        <f t="shared" ref="O25" si="143">O26-O24</f>
        <v>26.240000000000009</v>
      </c>
      <c r="P25" s="3">
        <f t="shared" ref="P25" si="144">P26-P24</f>
        <v>52.480000000000018</v>
      </c>
      <c r="Q25" s="3">
        <f t="shared" ref="Q25" si="145">Q26-Q24</f>
        <v>104.96000000000004</v>
      </c>
      <c r="R25" s="3">
        <f t="shared" ref="R25" si="146">R26-R24</f>
        <v>209.92000000000007</v>
      </c>
      <c r="S25" s="3">
        <f t="shared" ref="S25" si="147">S26-S24</f>
        <v>419.84000000000015</v>
      </c>
      <c r="U25" s="3">
        <v>1.6400000000000006</v>
      </c>
      <c r="V25" s="3">
        <v>3.2800000000000011</v>
      </c>
      <c r="W25" s="3">
        <v>6.5600000000000023</v>
      </c>
      <c r="X25" s="3">
        <v>13.120000000000005</v>
      </c>
      <c r="Y25" s="3">
        <v>26.240000000000009</v>
      </c>
      <c r="Z25" s="3">
        <v>52.480000000000018</v>
      </c>
      <c r="AA25" s="3">
        <v>104.96000000000004</v>
      </c>
      <c r="AB25" s="3">
        <v>209.92000000000007</v>
      </c>
      <c r="AC25" s="3">
        <v>419.84000000000015</v>
      </c>
    </row>
    <row r="26" spans="10:29" x14ac:dyDescent="0.25">
      <c r="J26" t="s">
        <v>16</v>
      </c>
      <c r="K26" s="2">
        <v>29.14</v>
      </c>
      <c r="L26" s="2">
        <f>K26*2</f>
        <v>58.28</v>
      </c>
      <c r="M26" s="2">
        <f t="shared" ref="M26:S26" si="148">L26*2</f>
        <v>116.56</v>
      </c>
      <c r="N26" s="2">
        <f t="shared" si="148"/>
        <v>233.12</v>
      </c>
      <c r="O26" s="2">
        <f t="shared" si="148"/>
        <v>466.24</v>
      </c>
      <c r="P26" s="2">
        <f t="shared" si="148"/>
        <v>932.48</v>
      </c>
      <c r="Q26" s="2">
        <f t="shared" si="148"/>
        <v>1864.96</v>
      </c>
      <c r="R26" s="2">
        <f t="shared" si="148"/>
        <v>3729.92</v>
      </c>
      <c r="S26" s="2">
        <f t="shared" si="148"/>
        <v>7459.84</v>
      </c>
      <c r="U26" s="2">
        <f>U27-U25</f>
        <v>8.9999999999999858E-2</v>
      </c>
      <c r="V26" s="2">
        <f t="shared" ref="V26" si="149">V27-V25</f>
        <v>0.17999999999999972</v>
      </c>
      <c r="W26" s="2">
        <f t="shared" ref="W26" si="150">W27-W25</f>
        <v>0.35999999999999943</v>
      </c>
      <c r="X26" s="2">
        <f t="shared" ref="X26" si="151">X27-X25</f>
        <v>0.71999999999999886</v>
      </c>
      <c r="Y26" s="2">
        <f t="shared" ref="Y26" si="152">Y27-Y25</f>
        <v>1.4399999999999977</v>
      </c>
      <c r="Z26" s="2">
        <f t="shared" ref="Z26" si="153">Z27-Z25</f>
        <v>2.8799999999999955</v>
      </c>
      <c r="AA26" s="2">
        <f t="shared" ref="AA26" si="154">AA27-AA25</f>
        <v>5.7599999999999909</v>
      </c>
      <c r="AB26" s="2">
        <f t="shared" ref="AB26" si="155">AB27-AB25</f>
        <v>11.519999999999982</v>
      </c>
      <c r="AC26" s="2">
        <f t="shared" ref="AC26" si="156">AC27-AC25</f>
        <v>23.039999999999964</v>
      </c>
    </row>
    <row r="27" spans="10:29" x14ac:dyDescent="0.25">
      <c r="K27" s="3">
        <f>K28-K26</f>
        <v>1.7300000000000004</v>
      </c>
      <c r="L27" s="3">
        <f t="shared" ref="L27" si="157">L28-L26</f>
        <v>3.4600000000000009</v>
      </c>
      <c r="M27" s="3">
        <f t="shared" ref="M27" si="158">M28-M26</f>
        <v>6.9200000000000017</v>
      </c>
      <c r="N27" s="3">
        <f t="shared" ref="N27" si="159">N28-N26</f>
        <v>13.840000000000003</v>
      </c>
      <c r="O27" s="3">
        <f t="shared" ref="O27" si="160">O28-O26</f>
        <v>27.680000000000007</v>
      </c>
      <c r="P27" s="3">
        <f t="shared" ref="P27" si="161">P28-P26</f>
        <v>55.360000000000014</v>
      </c>
      <c r="Q27" s="3">
        <f t="shared" ref="Q27" si="162">Q28-Q26</f>
        <v>110.72000000000003</v>
      </c>
      <c r="R27" s="3">
        <f t="shared" ref="R27" si="163">R28-R26</f>
        <v>221.44000000000005</v>
      </c>
      <c r="S27" s="3">
        <f t="shared" ref="S27" si="164">S28-S26</f>
        <v>442.88000000000011</v>
      </c>
      <c r="U27" s="3">
        <v>1.7300000000000004</v>
      </c>
      <c r="V27" s="3">
        <v>3.4600000000000009</v>
      </c>
      <c r="W27" s="3">
        <v>6.9200000000000017</v>
      </c>
      <c r="X27" s="3">
        <v>13.840000000000003</v>
      </c>
      <c r="Y27" s="3">
        <v>27.680000000000007</v>
      </c>
      <c r="Z27" s="3">
        <v>55.360000000000014</v>
      </c>
      <c r="AA27" s="3">
        <v>110.72000000000003</v>
      </c>
      <c r="AB27" s="3">
        <v>221.44000000000005</v>
      </c>
      <c r="AC27" s="3">
        <v>442.88000000000011</v>
      </c>
    </row>
    <row r="28" spans="10:29" x14ac:dyDescent="0.25">
      <c r="J28" t="s">
        <v>17</v>
      </c>
      <c r="K28" s="2">
        <v>30.87</v>
      </c>
      <c r="L28" s="2">
        <f>K28*2</f>
        <v>61.74</v>
      </c>
      <c r="M28" s="2">
        <f t="shared" ref="M28:S28" si="165">L28*2</f>
        <v>123.48</v>
      </c>
      <c r="N28" s="2">
        <f t="shared" si="165"/>
        <v>246.96</v>
      </c>
      <c r="O28" s="2">
        <f t="shared" si="165"/>
        <v>493.92</v>
      </c>
      <c r="P28" s="2">
        <f t="shared" si="165"/>
        <v>987.84</v>
      </c>
      <c r="Q28" s="2">
        <f t="shared" si="165"/>
        <v>1975.68</v>
      </c>
      <c r="R28" s="2">
        <f t="shared" si="165"/>
        <v>3951.36</v>
      </c>
      <c r="S28" s="2">
        <f t="shared" si="165"/>
        <v>7902.72</v>
      </c>
      <c r="U28" s="2">
        <f>U29-U27</f>
        <v>0.10000000000000142</v>
      </c>
      <c r="V28" s="2">
        <f t="shared" ref="V28" si="166">V29-V27</f>
        <v>0.20000000000000284</v>
      </c>
      <c r="W28" s="2">
        <f t="shared" ref="W28" si="167">W29-W27</f>
        <v>0.40000000000000568</v>
      </c>
      <c r="X28" s="2">
        <f t="shared" ref="X28" si="168">X29-X27</f>
        <v>0.80000000000001137</v>
      </c>
      <c r="Y28" s="2">
        <f t="shared" ref="Y28" si="169">Y29-Y27</f>
        <v>1.6000000000000227</v>
      </c>
      <c r="Z28" s="2">
        <f t="shared" ref="Z28" si="170">Z29-Z27</f>
        <v>3.2000000000000455</v>
      </c>
      <c r="AA28" s="2">
        <f t="shared" ref="AA28" si="171">AA29-AA27</f>
        <v>6.4000000000000909</v>
      </c>
      <c r="AB28" s="2">
        <f t="shared" ref="AB28" si="172">AB29-AB27</f>
        <v>12.800000000000182</v>
      </c>
      <c r="AC28" s="2">
        <f t="shared" ref="AC28" si="173">AC29-AC27</f>
        <v>25.600000000000364</v>
      </c>
    </row>
    <row r="29" spans="10:29" x14ac:dyDescent="0.25">
      <c r="K29" s="3">
        <f>K30-K28</f>
        <v>1.8300000000000018</v>
      </c>
      <c r="L29" s="3">
        <f t="shared" ref="L29" si="174">L30-L28</f>
        <v>3.6600000000000037</v>
      </c>
      <c r="M29" s="3">
        <f t="shared" ref="M29" si="175">M30-M28</f>
        <v>7.3200000000000074</v>
      </c>
      <c r="N29" s="3">
        <f t="shared" ref="N29" si="176">N30-N28</f>
        <v>14.640000000000015</v>
      </c>
      <c r="O29" s="3">
        <f t="shared" ref="O29" si="177">O30-O28</f>
        <v>29.28000000000003</v>
      </c>
      <c r="P29" s="3">
        <f t="shared" ref="P29" si="178">P30-P28</f>
        <v>58.560000000000059</v>
      </c>
      <c r="Q29" s="3">
        <f t="shared" ref="Q29" si="179">Q30-Q28</f>
        <v>117.12000000000012</v>
      </c>
      <c r="R29" s="3">
        <f t="shared" ref="R29" si="180">R30-R28</f>
        <v>234.24000000000024</v>
      </c>
      <c r="S29" s="3">
        <f t="shared" ref="S29" si="181">S30-S28</f>
        <v>468.48000000000047</v>
      </c>
      <c r="U29" s="3">
        <v>1.8300000000000018</v>
      </c>
      <c r="V29" s="3">
        <v>3.6600000000000037</v>
      </c>
      <c r="W29" s="3">
        <v>7.3200000000000074</v>
      </c>
      <c r="X29" s="3">
        <v>14.640000000000015</v>
      </c>
      <c r="Y29" s="3">
        <v>29.28000000000003</v>
      </c>
      <c r="Z29" s="3">
        <v>58.560000000000059</v>
      </c>
      <c r="AA29" s="3">
        <v>117.12000000000012</v>
      </c>
      <c r="AB29" s="3">
        <v>234.24000000000024</v>
      </c>
      <c r="AC29" s="3">
        <v>468.48000000000047</v>
      </c>
    </row>
    <row r="30" spans="10:29" x14ac:dyDescent="0.25">
      <c r="J30" t="s">
        <v>18</v>
      </c>
      <c r="K30" s="2">
        <v>32.700000000000003</v>
      </c>
      <c r="L30" s="2">
        <f>K30*2</f>
        <v>65.400000000000006</v>
      </c>
      <c r="M30" s="2">
        <f t="shared" ref="M30:S30" si="182">L30*2</f>
        <v>130.80000000000001</v>
      </c>
      <c r="N30" s="2">
        <f t="shared" si="182"/>
        <v>261.60000000000002</v>
      </c>
      <c r="O30" s="2">
        <f t="shared" si="182"/>
        <v>523.20000000000005</v>
      </c>
      <c r="P30" s="2">
        <f t="shared" si="182"/>
        <v>1046.4000000000001</v>
      </c>
      <c r="Q30" s="2">
        <f t="shared" si="182"/>
        <v>2092.8000000000002</v>
      </c>
      <c r="R30" s="2">
        <f t="shared" si="182"/>
        <v>4185.6000000000004</v>
      </c>
      <c r="S30" s="2">
        <f t="shared" si="182"/>
        <v>8371.2000000000007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XharpRazor Axtra</dc:creator>
  <cp:lastModifiedBy>XharpRazor Axtra</cp:lastModifiedBy>
  <dcterms:created xsi:type="dcterms:W3CDTF">2024-06-30T14:45:33Z</dcterms:created>
  <dcterms:modified xsi:type="dcterms:W3CDTF">2024-06-30T20:11:48Z</dcterms:modified>
</cp:coreProperties>
</file>